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Veterinaria\company\"/>
    </mc:Choice>
  </mc:AlternateContent>
  <xr:revisionPtr revIDLastSave="0" documentId="13_ncr:1_{CA8396B3-BD64-4481-81F9-5B192F903509}" xr6:coauthVersionLast="47" xr6:coauthVersionMax="47" xr10:uidLastSave="{00000000-0000-0000-0000-000000000000}"/>
  <bookViews>
    <workbookView xWindow="-120" yWindow="-120" windowWidth="20730" windowHeight="11040" xr2:uid="{CE282CD9-DD24-4C08-8996-3C3BF555DC78}"/>
  </bookViews>
  <sheets>
    <sheet name="animales" sheetId="8" r:id="rId1"/>
    <sheet name="razas" sheetId="9" r:id="rId2"/>
    <sheet name="personas" sheetId="21" r:id="rId3"/>
    <sheet name="empleados" sheetId="3" r:id="rId4"/>
    <sheet name="mascotas" sheetId="7" r:id="rId5"/>
    <sheet name="proveedores" sheetId="13" r:id="rId6"/>
    <sheet name="articulos" sheetId="1" r:id="rId7"/>
    <sheet name="alimentos" sheetId="20" r:id="rId8"/>
    <sheet name="productos" sheetId="19" r:id="rId9"/>
    <sheet name="medicamentos" sheetId="6" r:id="rId10"/>
    <sheet name="facturas_proveedor" sheetId="12" r:id="rId11"/>
    <sheet name="formas_pago" sheetId="15" r:id="rId12"/>
    <sheet name="tickets" sheetId="16" r:id="rId13"/>
    <sheet name="citas" sheetId="22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  <c r="B2" i="7"/>
  <c r="A2" i="16"/>
</calcChain>
</file>

<file path=xl/sharedStrings.xml><?xml version="1.0" encoding="utf-8"?>
<sst xmlns="http://schemas.openxmlformats.org/spreadsheetml/2006/main" count="118" uniqueCount="106">
  <si>
    <t>nombre</t>
  </si>
  <si>
    <t>gramaje</t>
  </si>
  <si>
    <t>descripcion</t>
  </si>
  <si>
    <t>ALIMENTO PARA PERROS ADULTO, CON RES Y VEGETALES</t>
  </si>
  <si>
    <t>ALIMENTO PARA PERROS ADULTOS DE RAZAS MEDIANAS Y GRANDES</t>
  </si>
  <si>
    <t>CROQUETAS PARA PERROS GRANDES, MAXI ADULT</t>
  </si>
  <si>
    <t>GANADOR 25KG</t>
  </si>
  <si>
    <t>ROYAL CANIN 15.8KG</t>
  </si>
  <si>
    <t>PURINA CAT CHOW 3KG</t>
  </si>
  <si>
    <t>rfc</t>
  </si>
  <si>
    <t>apellido_p</t>
  </si>
  <si>
    <t>apellido_m</t>
  </si>
  <si>
    <t>fecha_ini</t>
  </si>
  <si>
    <t>jor_ini</t>
  </si>
  <si>
    <t>jor_fin</t>
  </si>
  <si>
    <t>id_proveedor</t>
  </si>
  <si>
    <t>telefono</t>
  </si>
  <si>
    <t>laboratorio</t>
  </si>
  <si>
    <t>via</t>
  </si>
  <si>
    <t>intravenosa</t>
  </si>
  <si>
    <t>id_animal</t>
  </si>
  <si>
    <t>id_raza</t>
  </si>
  <si>
    <t>total_adopcion</t>
  </si>
  <si>
    <t>PECA121203TU1</t>
  </si>
  <si>
    <t>id_mascota</t>
  </si>
  <si>
    <t>fecha_nacimiento</t>
  </si>
  <si>
    <t>sexo</t>
  </si>
  <si>
    <t>macho</t>
  </si>
  <si>
    <t>oral</t>
  </si>
  <si>
    <t>fecha_factura</t>
  </si>
  <si>
    <t>AL LADO DE UN SEMAFORO</t>
  </si>
  <si>
    <t>962 222 2222</t>
  </si>
  <si>
    <t>PATRON</t>
  </si>
  <si>
    <t>1234 9890 1412 3312</t>
  </si>
  <si>
    <t>comision</t>
  </si>
  <si>
    <t>VISA</t>
  </si>
  <si>
    <t>id_ticket</t>
  </si>
  <si>
    <t>fecha_cobro</t>
  </si>
  <si>
    <t>hora_cobro</t>
  </si>
  <si>
    <t>id_articulo</t>
  </si>
  <si>
    <t>PEDIGREE 17KG</t>
  </si>
  <si>
    <t>CARRANZA</t>
  </si>
  <si>
    <t>tipo</t>
  </si>
  <si>
    <t>juguete</t>
  </si>
  <si>
    <t>GATO</t>
  </si>
  <si>
    <t>PERRO</t>
  </si>
  <si>
    <t>CUCHA</t>
  </si>
  <si>
    <t>GUACAMAYA</t>
  </si>
  <si>
    <t>RATON</t>
  </si>
  <si>
    <t>PERICO</t>
  </si>
  <si>
    <t>TORTUGA</t>
  </si>
  <si>
    <t>BALLENA</t>
  </si>
  <si>
    <t>ABISINO</t>
  </si>
  <si>
    <t>BAILANES</t>
  </si>
  <si>
    <t>AZUL RUSO</t>
  </si>
  <si>
    <t>ALEJANDRO</t>
  </si>
  <si>
    <t>PEREZ</t>
  </si>
  <si>
    <t>CHAVEZ</t>
  </si>
  <si>
    <t>MIA</t>
  </si>
  <si>
    <t>RODRIGUEZ</t>
  </si>
  <si>
    <t>9012 0001 2910 0123</t>
  </si>
  <si>
    <t>ROOM230603TU2</t>
  </si>
  <si>
    <t>MININO</t>
  </si>
  <si>
    <t>PEDIGREE</t>
  </si>
  <si>
    <t>PURINA</t>
  </si>
  <si>
    <t>ALPESUR</t>
  </si>
  <si>
    <t>PETNGO</t>
  </si>
  <si>
    <t>LOMAS SAJEO</t>
  </si>
  <si>
    <t>POR UN CALLEJON</t>
  </si>
  <si>
    <t>AL LADO DE MI VECINO</t>
  </si>
  <si>
    <t>962 111 1111</t>
  </si>
  <si>
    <t>962.092.1921</t>
  </si>
  <si>
    <t>962.900.0000</t>
  </si>
  <si>
    <t>Vender comida para perros</t>
  </si>
  <si>
    <t>monto_compra</t>
  </si>
  <si>
    <t>HUESO CANIN</t>
  </si>
  <si>
    <t>JUGUETE PARA MORDER XD</t>
  </si>
  <si>
    <t>CANCINO</t>
  </si>
  <si>
    <t>PARACETAMOL</t>
  </si>
  <si>
    <t>SIMILARES</t>
  </si>
  <si>
    <t>DONDE ESTA LA BOTARGA</t>
  </si>
  <si>
    <t>962.100.2012</t>
  </si>
  <si>
    <t>Lo mismo pero mas barato</t>
  </si>
  <si>
    <t>FARMCACIAS DEL AHORRO</t>
  </si>
  <si>
    <t>DONDE TRABAJA EL ERWIN</t>
  </si>
  <si>
    <t>876.122.1239</t>
  </si>
  <si>
    <t>SABINO</t>
  </si>
  <si>
    <t>id_persona</t>
  </si>
  <si>
    <t>no_cuenta</t>
  </si>
  <si>
    <t>JIMENEZ</t>
  </si>
  <si>
    <t>Aqui dan moto</t>
  </si>
  <si>
    <t>COMIDA PARA GATO ADULTO, DE CASA</t>
  </si>
  <si>
    <t>direccion</t>
  </si>
  <si>
    <t>salario_bruto</t>
  </si>
  <si>
    <t>salario_neto</t>
  </si>
  <si>
    <t>puesto</t>
  </si>
  <si>
    <t>fecha_cita</t>
  </si>
  <si>
    <t>hora</t>
  </si>
  <si>
    <t>detalle</t>
  </si>
  <si>
    <t>id_veterinario</t>
  </si>
  <si>
    <t>El minino se siente raro</t>
  </si>
  <si>
    <t>veterinario</t>
  </si>
  <si>
    <t>mostrador</t>
  </si>
  <si>
    <t>MASTERCARD</t>
  </si>
  <si>
    <t>OXXO PREMIA</t>
  </si>
  <si>
    <t>PEJE COINS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</si>
</sst>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1" formatCode="yyyy\-mm\-dd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21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/>
    <xf numFmtId="171" fontId="0" fillId="0" borderId="0" xfId="0" applyNumberFormat="1"/>
    <xf numFmtId="20" fontId="0" fillId="0" borderId="0" xfId="0" applyNumberFormat="1"/>
  </cellXfs>
  <cellStyles count="1">
    <cellStyle name="Normal" xfId="0" builtinId="0"/>
  </cellStyles>
  <dxfs count="5">
    <dxf>
      <numFmt numFmtId="171" formatCode="yyyy\-mm\-dd"/>
    </dxf>
    <dxf>
      <numFmt numFmtId="171" formatCode="yyyy\-mm\-dd"/>
    </dxf>
    <dxf>
      <numFmt numFmtId="26" formatCode="hh:mm:ss"/>
    </dxf>
    <dxf>
      <numFmt numFmtId="0" formatCode="General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17549D4-2296-4653-8D5D-193F5D9D27E5}" name="Tabla7" displayName="Tabla7" ref="A1:A9" totalsRowShown="0">
  <autoFilter ref="A1:A9" xr:uid="{017549D4-2296-4653-8D5D-193F5D9D27E5}"/>
  <tableColumns count="1">
    <tableColumn id="2" xr3:uid="{8E974915-B310-4C8E-B1F1-D0382BFF5338}" name="nomb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AD80CC-3046-45C9-80FB-4D71733D3525}" name="Tabla8" displayName="Tabla8" ref="A1:C4" totalsRowShown="0">
  <autoFilter ref="A1:C4" xr:uid="{00AD80CC-3046-45C9-80FB-4D71733D3525}"/>
  <tableColumns count="3">
    <tableColumn id="2" xr3:uid="{77BC28D4-D740-4F3B-AB8C-76888C31DB38}" name="nombre"/>
    <tableColumn id="3" xr3:uid="{ECD1B4AE-D968-4BF8-8E29-1ADEE8056150}" name="total_adopcion"/>
    <tableColumn id="4" xr3:uid="{97BBD7FB-4329-4B5C-9276-ADFD688CC677}" name="id_anim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4C8E602-3D90-48BD-B2EC-8FB64A34FEC5}" name="Tabla11" displayName="Tabla11" ref="A1:E3" totalsRowShown="0">
  <autoFilter ref="A1:E3" xr:uid="{C4C8E602-3D90-48BD-B2EC-8FB64A34FEC5}"/>
  <tableColumns count="5">
    <tableColumn id="2" xr3:uid="{A08CFE78-041D-41C9-81F0-51005F55D9B3}" name="rfc"/>
    <tableColumn id="3" xr3:uid="{98FA9998-86F7-4181-B26E-1CFDFB1F1F2C}" name="nombre"/>
    <tableColumn id="4" xr3:uid="{4737569A-A0DF-4352-AE4E-819C00A1110E}" name="apellido_p"/>
    <tableColumn id="5" xr3:uid="{9098189A-977E-4F04-A540-970895CECA0B}" name="apellido_m"/>
    <tableColumn id="6" xr3:uid="{A12F4BA4-08A3-4AEB-B5F2-AF81B1FB525C}" name="no_cuent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038772D-ADBF-4424-AE0E-8171D2F161CC}" name="Tabla3" displayName="Tabla3" ref="A1:G3" totalsRowShown="0">
  <autoFilter ref="A1:G3" xr:uid="{5038772D-ADBF-4424-AE0E-8171D2F161CC}"/>
  <tableColumns count="7">
    <tableColumn id="4" xr3:uid="{30991AFA-6920-4621-A5CC-5FC4C0E88A63}" name="id_persona"/>
    <tableColumn id="6" xr3:uid="{FEADF906-A9CC-4D9D-9E0B-57EAF2280AB4}" name="fecha_ini"/>
    <tableColumn id="7" xr3:uid="{5107828C-DCD3-4281-8852-17C1091BBD32}" name="jor_ini"/>
    <tableColumn id="8" xr3:uid="{607EBE13-A980-4A2B-ACC5-A9B5FC6F0A04}" name="jor_fin"/>
    <tableColumn id="2" xr3:uid="{29400ADC-6341-4DF7-934D-994A393AEC1A}" name="salario_bruto" dataDxfId="2"/>
    <tableColumn id="3" xr3:uid="{4E070D01-2114-4B09-B937-DF4C4DEA10A3}" name="salario_neto"/>
    <tableColumn id="9" xr3:uid="{CB3302F3-D32C-4820-B18A-ED19B25556CB}" name="puesto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65DB06E-3366-461C-90C9-8B2F22A16982}" name="Tabla10" displayName="Tabla10" ref="A1:E2" totalsRowShown="0">
  <autoFilter ref="A1:E2" xr:uid="{E65DB06E-3366-461C-90C9-8B2F22A16982}"/>
  <tableColumns count="5">
    <tableColumn id="2" xr3:uid="{1D267AB4-7717-4ABF-A3FE-88DA4195FA67}" name="nombre"/>
    <tableColumn id="3" xr3:uid="{12405D3B-CAC4-48FD-91F5-CB5038301846}" name="fecha_nacimiento">
      <calculatedColumnFormula>TEXT("18/10/2009", "aaaa-mm-dd")</calculatedColumnFormula>
    </tableColumn>
    <tableColumn id="4" xr3:uid="{AFECB4A2-DDC3-49EE-A6D2-BE824BC69EB2}" name="sexo"/>
    <tableColumn id="5" xr3:uid="{913D3CC0-876C-401E-9D3D-D961D87E9AA9}" name="id_persona"/>
    <tableColumn id="6" xr3:uid="{DDEDFEE0-2D35-4417-A717-7B21B470B125}" name="id_raz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85391C2-A2B7-4AE3-9640-CE9D6636A1FB}" name="Tabla13" displayName="Tabla13" ref="A1:D7" totalsRowShown="0">
  <autoFilter ref="A1:D7" xr:uid="{B85391C2-A2B7-4AE3-9640-CE9D6636A1FB}"/>
  <tableColumns count="4">
    <tableColumn id="2" xr3:uid="{9ACE371B-C9F1-4ACF-AFBA-25D68704F666}" name="nombre"/>
    <tableColumn id="3" xr3:uid="{1E6F263A-221A-478E-A198-87E087B06F18}" name="direccion"/>
    <tableColumn id="4" xr3:uid="{483F2148-AD3D-48EA-B4A4-C5EF658DBAC5}" name="telefono"/>
    <tableColumn id="5" xr3:uid="{EE7C556B-64D4-4C21-9638-B7AB08C76C8D}" name="descripc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958A664-F331-4C5D-B9EB-5E602EAEB496}" name="Tabla1" displayName="Tabla1" ref="A1:D8" totalsRowShown="0">
  <autoFilter ref="A1:D8" xr:uid="{0958A664-F331-4C5D-B9EB-5E602EAEB496}"/>
  <tableColumns count="4">
    <tableColumn id="8" xr3:uid="{B3325250-129B-43D7-ADE2-2CC5D05DF5CA}" name="id_proveedor" dataDxfId="4"/>
    <tableColumn id="2" xr3:uid="{05E69FFE-1C35-423E-80A0-8157EF752049}" name="nombre"/>
    <tableColumn id="3" xr3:uid="{8823B11F-84C9-4644-986F-0774961FB272}" name="monto_compra" dataDxfId="3"/>
    <tableColumn id="5" xr3:uid="{7B1236FB-4DD4-4A33-883E-0D381292C12A}" name="descripcion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6D65343-5B9B-427C-898E-76FF05165039}" name="Tabla2" displayName="Tabla2" ref="A1:B5" totalsRowShown="0">
  <autoFilter ref="A1:B5" xr:uid="{46D65343-5B9B-427C-898E-76FF05165039}"/>
  <tableColumns count="2">
    <tableColumn id="1" xr3:uid="{C9B2F2DA-2894-4806-BA9E-6FDF896055CE}" name="id_articulo"/>
    <tableColumn id="2" xr3:uid="{57C542C5-A511-4686-A213-51FBFE5F6F3C}" name="gramaj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B047862-79E8-491D-9675-3A079D4B07BB}" name="Tabla18" displayName="Tabla18" ref="A1:B2" totalsRowShown="0">
  <autoFilter ref="A1:B2" xr:uid="{8B047862-79E8-491D-9675-3A079D4B07BB}"/>
  <tableColumns count="2">
    <tableColumn id="1" xr3:uid="{72CF667E-7FAF-40DC-B81A-127FE57B9F08}" name="id_articulo"/>
    <tableColumn id="5" xr3:uid="{C7A6A287-372C-49D3-BD02-E69F0E623F5D}" name="tipo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3CDE273-6A65-479E-AE20-65EE586AA820}" name="Tabla6" displayName="Tabla6" ref="A1:D3" totalsRowShown="0">
  <autoFilter ref="A1:D3" xr:uid="{93CDE273-6A65-479E-AE20-65EE586AA820}"/>
  <tableColumns count="4">
    <tableColumn id="1" xr3:uid="{2BB34B6C-C1EF-4CBE-BFB5-BBEB37CF1C29}" name="id_articulo"/>
    <tableColumn id="4" xr3:uid="{E3155942-AD58-40EC-88D0-348E340CBAA7}" name="gramaje"/>
    <tableColumn id="5" xr3:uid="{7155211F-2A7A-49AD-AF50-6CE8B251BA88}" name="laboratorio"/>
    <tableColumn id="7" xr3:uid="{AFE9E453-3B12-4F74-9D98-53775E87332E}" name="vi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E3168E-BAE6-4328-B115-C466022CC2F5}" name="Tabla12" displayName="Tabla12" ref="A1:B2" totalsRowShown="0">
  <autoFilter ref="A1:B2" xr:uid="{61E3168E-BAE6-4328-B115-C466022CC2F5}"/>
  <tableColumns count="2">
    <tableColumn id="2" xr3:uid="{FA106AF7-04A7-48C1-80B6-E16063A45CED}" name="fecha_factura">
      <calculatedColumnFormula>TEXT("15/03/2023", "aaaa-mm-dd")</calculatedColumnFormula>
    </tableColumn>
    <tableColumn id="4" xr3:uid="{A3B3020B-6F8D-4B89-94C0-098338E03D1E}" name="id_proveedor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3C71CD-6EC9-4F02-B845-19EF0310ADA0}" name="Tabla4" displayName="Tabla4" ref="A1:B5" totalsRowShown="0">
  <autoFilter ref="A1:B5" xr:uid="{FD3C71CD-6EC9-4F02-B845-19EF0310ADA0}"/>
  <tableColumns count="2">
    <tableColumn id="2" xr3:uid="{4FF21ADD-EC9B-4DF6-9B09-DDAD2015AD36}" name="nombre"/>
    <tableColumn id="3" xr3:uid="{13298BE5-3010-4799-A441-E4B7A5889475}" name="comision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D79724-C271-4128-8787-B32781A7C979}" name="Tabla15" displayName="Tabla15" ref="A1:B2" totalsRowShown="0">
  <autoFilter ref="A1:B2" xr:uid="{15D79724-C271-4128-8787-B32781A7C979}"/>
  <tableColumns count="2">
    <tableColumn id="3" xr3:uid="{637ACEC5-F7CE-49BA-B5E4-4F4C0290AB61}" name="fecha_cobro" dataDxfId="1">
      <calculatedColumnFormula>TODAY()</calculatedColumnFormula>
    </tableColumn>
    <tableColumn id="4" xr3:uid="{692B54B1-8643-49E8-85BA-6E635718CB9F}" name="hora_cobro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EF9FFED-9090-450B-99C6-3E7DC7DA85BB}" name="Tabla14" displayName="Tabla14" ref="A1:F2" totalsRowShown="0">
  <autoFilter ref="A1:F2" xr:uid="{CEF9FFED-9090-450B-99C6-3E7DC7DA85BB}"/>
  <tableColumns count="6">
    <tableColumn id="1" xr3:uid="{57B45DAE-30EE-453D-AC43-D0F92E3AD3D0}" name="fecha_cita" dataDxfId="0"/>
    <tableColumn id="2" xr3:uid="{315BE945-6181-419E-8A46-B147A994D369}" name="hora"/>
    <tableColumn id="3" xr3:uid="{1A08DADE-65D5-4CFA-9E99-7A82F5148DCD}" name="detalle"/>
    <tableColumn id="4" xr3:uid="{CB1589B9-1DCE-413A-B48A-4F979F76792E}" name="id_mascota"/>
    <tableColumn id="5" xr3:uid="{4C65296B-02E1-49AB-BB6D-637170E424CF}" name="id_veterinario"/>
    <tableColumn id="6" xr3:uid="{1FDFB13F-A4C5-4435-843A-852EA3E5AC60}" name="id_tick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67EC4-447D-40CB-9A2B-E2AD5EB5595F}">
  <sheetPr codeName="Hoja1"/>
  <dimension ref="A1:A9"/>
  <sheetViews>
    <sheetView tabSelected="1" workbookViewId="0">
      <selection activeCell="C15" sqref="C15"/>
    </sheetView>
  </sheetViews>
  <sheetFormatPr baseColWidth="10" defaultRowHeight="15" x14ac:dyDescent="0.25"/>
  <cols>
    <col min="1" max="1" width="17.5703125" bestFit="1" customWidth="1"/>
  </cols>
  <sheetData>
    <row r="1" spans="1:1" x14ac:dyDescent="0.25">
      <c r="A1" t="s">
        <v>0</v>
      </c>
    </row>
    <row r="2" spans="1:1" x14ac:dyDescent="0.25">
      <c r="A2" s="4" t="s">
        <v>44</v>
      </c>
    </row>
    <row r="3" spans="1:1" x14ac:dyDescent="0.25">
      <c r="A3" s="4" t="s">
        <v>45</v>
      </c>
    </row>
    <row r="4" spans="1:1" x14ac:dyDescent="0.25">
      <c r="A4" s="4" t="s">
        <v>46</v>
      </c>
    </row>
    <row r="5" spans="1:1" x14ac:dyDescent="0.25">
      <c r="A5" s="4" t="s">
        <v>47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9" spans="1:1" x14ac:dyDescent="0.25">
      <c r="A9" t="s">
        <v>51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46094-4484-4060-A692-91DCE6903AAE}">
  <sheetPr codeName="Hoja2"/>
  <dimension ref="A1:C4"/>
  <sheetViews>
    <sheetView workbookViewId="0">
      <selection activeCell="B1" sqref="B1"/>
    </sheetView>
  </sheetViews>
  <sheetFormatPr baseColWidth="10" defaultRowHeight="15" x14ac:dyDescent="0.25"/>
  <cols>
    <col min="2" max="2" width="16.42578125" customWidth="1"/>
    <col min="3" max="3" width="11.85546875" customWidth="1"/>
  </cols>
  <sheetData>
    <row r="1" spans="1:3" x14ac:dyDescent="0.25">
      <c r="A1" t="s">
        <v>0</v>
      </c>
      <c r="B1" t="s">
        <v>22</v>
      </c>
      <c r="C1" t="s">
        <v>20</v>
      </c>
    </row>
    <row r="2" spans="1:3" x14ac:dyDescent="0.25">
      <c r="A2" t="s">
        <v>52</v>
      </c>
      <c r="B2">
        <v>1</v>
      </c>
      <c r="C2">
        <v>1</v>
      </c>
    </row>
    <row r="3" spans="1:3" x14ac:dyDescent="0.25">
      <c r="A3" t="s">
        <v>53</v>
      </c>
      <c r="B3">
        <v>2</v>
      </c>
      <c r="C3">
        <v>1</v>
      </c>
    </row>
    <row r="4" spans="1:3" x14ac:dyDescent="0.25">
      <c r="A4" t="s">
        <v>54</v>
      </c>
      <c r="B4">
        <v>0</v>
      </c>
      <c r="C4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21836-499F-4154-8D24-142DF98A57F3}">
  <sheetPr codeName="Hoja19"/>
  <dimension ref="A1:E3"/>
  <sheetViews>
    <sheetView workbookViewId="0">
      <selection activeCell="D21" sqref="D21"/>
    </sheetView>
  </sheetViews>
  <sheetFormatPr baseColWidth="10" defaultRowHeight="15" x14ac:dyDescent="0.25"/>
  <cols>
    <col min="1" max="1" width="16.140625" bestFit="1" customWidth="1"/>
    <col min="3" max="3" width="12.5703125" customWidth="1"/>
    <col min="4" max="4" width="13.140625" customWidth="1"/>
    <col min="5" max="5" width="18.42578125" bestFit="1" customWidth="1"/>
  </cols>
  <sheetData>
    <row r="1" spans="1:5" x14ac:dyDescent="0.25">
      <c r="A1" t="s">
        <v>9</v>
      </c>
      <c r="B1" t="s">
        <v>0</v>
      </c>
      <c r="C1" t="s">
        <v>10</v>
      </c>
      <c r="D1" t="s">
        <v>11</v>
      </c>
      <c r="E1" t="s">
        <v>88</v>
      </c>
    </row>
    <row r="2" spans="1:5" x14ac:dyDescent="0.25">
      <c r="A2" t="s">
        <v>23</v>
      </c>
      <c r="B2" t="s">
        <v>55</v>
      </c>
      <c r="C2" t="s">
        <v>56</v>
      </c>
      <c r="D2" t="s">
        <v>57</v>
      </c>
      <c r="E2" t="s">
        <v>33</v>
      </c>
    </row>
    <row r="3" spans="1:5" x14ac:dyDescent="0.25">
      <c r="A3" t="s">
        <v>61</v>
      </c>
      <c r="B3" t="s">
        <v>58</v>
      </c>
      <c r="C3" t="s">
        <v>59</v>
      </c>
      <c r="D3" t="s">
        <v>89</v>
      </c>
      <c r="E3" t="s">
        <v>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3B94D-D503-4D34-8589-6376FE6D3DF3}">
  <sheetPr codeName="Hoja12"/>
  <dimension ref="A1:G3"/>
  <sheetViews>
    <sheetView workbookViewId="0">
      <selection activeCell="D13" sqref="D13"/>
    </sheetView>
  </sheetViews>
  <sheetFormatPr baseColWidth="10" defaultRowHeight="15" x14ac:dyDescent="0.25"/>
  <cols>
    <col min="2" max="2" width="11.42578125" bestFit="1" customWidth="1"/>
    <col min="3" max="3" width="9" bestFit="1" customWidth="1"/>
    <col min="4" max="4" width="9.140625" bestFit="1" customWidth="1"/>
    <col min="5" max="5" width="15" bestFit="1" customWidth="1"/>
    <col min="7" max="7" width="10.85546875" bestFit="1" customWidth="1"/>
  </cols>
  <sheetData>
    <row r="1" spans="1:7" x14ac:dyDescent="0.25">
      <c r="A1" t="s">
        <v>87</v>
      </c>
      <c r="B1" t="s">
        <v>12</v>
      </c>
      <c r="C1" t="s">
        <v>13</v>
      </c>
      <c r="D1" t="s">
        <v>14</v>
      </c>
      <c r="E1" t="s">
        <v>93</v>
      </c>
      <c r="F1" t="s">
        <v>94</v>
      </c>
      <c r="G1" t="s">
        <v>95</v>
      </c>
    </row>
    <row r="2" spans="1:7" x14ac:dyDescent="0.25">
      <c r="A2">
        <v>1</v>
      </c>
      <c r="B2" s="6">
        <v>44862</v>
      </c>
      <c r="C2" s="2">
        <v>0.66666666666666663</v>
      </c>
      <c r="D2" s="2">
        <v>0.875</v>
      </c>
      <c r="E2">
        <v>10000</v>
      </c>
      <c r="F2">
        <v>7800</v>
      </c>
      <c r="G2" t="s">
        <v>101</v>
      </c>
    </row>
    <row r="3" spans="1:7" x14ac:dyDescent="0.25">
      <c r="A3">
        <v>2</v>
      </c>
      <c r="B3" s="6">
        <v>44863</v>
      </c>
      <c r="C3" s="2">
        <v>0.375</v>
      </c>
      <c r="D3" s="2">
        <v>0.58333333333333337</v>
      </c>
      <c r="E3">
        <v>9500</v>
      </c>
      <c r="F3">
        <v>6230</v>
      </c>
      <c r="G3" t="s">
        <v>102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4AB96-C544-4653-B066-F6D75E0A0E9C}">
  <sheetPr codeName="Hoja4"/>
  <dimension ref="A1:E2"/>
  <sheetViews>
    <sheetView workbookViewId="0">
      <selection activeCell="F10" sqref="F10"/>
    </sheetView>
  </sheetViews>
  <sheetFormatPr baseColWidth="10" defaultRowHeight="15" x14ac:dyDescent="0.25"/>
  <cols>
    <col min="2" max="2" width="19" customWidth="1"/>
    <col min="3" max="3" width="7.42578125" bestFit="1" customWidth="1"/>
    <col min="4" max="4" width="13.140625" bestFit="1" customWidth="1"/>
    <col min="5" max="5" width="9.5703125" bestFit="1" customWidth="1"/>
  </cols>
  <sheetData>
    <row r="1" spans="1:5" x14ac:dyDescent="0.25">
      <c r="A1" t="s">
        <v>0</v>
      </c>
      <c r="B1" t="s">
        <v>25</v>
      </c>
      <c r="C1" t="s">
        <v>26</v>
      </c>
      <c r="D1" t="s">
        <v>87</v>
      </c>
      <c r="E1" t="s">
        <v>21</v>
      </c>
    </row>
    <row r="2" spans="1:5" x14ac:dyDescent="0.25">
      <c r="A2" t="s">
        <v>62</v>
      </c>
      <c r="B2" s="1" t="str">
        <f>TEXT("18/10/2009", "aaaa-mm-dd")</f>
        <v>2009-10-18</v>
      </c>
      <c r="C2" t="s">
        <v>27</v>
      </c>
      <c r="D2">
        <v>1</v>
      </c>
      <c r="E2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63D35-E4B8-486B-81E0-D807E9EFC6D7}">
  <sheetPr codeName="Hoja5"/>
  <dimension ref="A1:D7"/>
  <sheetViews>
    <sheetView workbookViewId="0">
      <selection activeCell="B1" sqref="B1"/>
    </sheetView>
  </sheetViews>
  <sheetFormatPr baseColWidth="10" defaultRowHeight="15" x14ac:dyDescent="0.25"/>
  <cols>
    <col min="1" max="1" width="31.140625" bestFit="1" customWidth="1"/>
    <col min="2" max="2" width="25" bestFit="1" customWidth="1"/>
    <col min="3" max="3" width="12.140625" bestFit="1" customWidth="1"/>
    <col min="4" max="4" width="25.140625" bestFit="1" customWidth="1"/>
  </cols>
  <sheetData>
    <row r="1" spans="1:4" x14ac:dyDescent="0.25">
      <c r="A1" t="s">
        <v>0</v>
      </c>
      <c r="B1" t="s">
        <v>92</v>
      </c>
      <c r="C1" t="s">
        <v>16</v>
      </c>
      <c r="D1" t="s">
        <v>2</v>
      </c>
    </row>
    <row r="2" spans="1:4" x14ac:dyDescent="0.25">
      <c r="A2" t="s">
        <v>63</v>
      </c>
      <c r="B2" t="s">
        <v>30</v>
      </c>
      <c r="C2" t="s">
        <v>31</v>
      </c>
      <c r="D2" t="s">
        <v>32</v>
      </c>
    </row>
    <row r="3" spans="1:4" x14ac:dyDescent="0.25">
      <c r="A3" t="s">
        <v>64</v>
      </c>
      <c r="B3" t="s">
        <v>67</v>
      </c>
      <c r="C3" t="s">
        <v>70</v>
      </c>
      <c r="D3" t="s">
        <v>73</v>
      </c>
    </row>
    <row r="4" spans="1:4" x14ac:dyDescent="0.25">
      <c r="A4" t="s">
        <v>65</v>
      </c>
      <c r="B4" t="s">
        <v>68</v>
      </c>
      <c r="C4" t="s">
        <v>71</v>
      </c>
    </row>
    <row r="5" spans="1:4" x14ac:dyDescent="0.25">
      <c r="A5" t="s">
        <v>66</v>
      </c>
      <c r="B5" t="s">
        <v>69</v>
      </c>
      <c r="C5" t="s">
        <v>72</v>
      </c>
    </row>
    <row r="6" spans="1:4" x14ac:dyDescent="0.25">
      <c r="A6" t="s">
        <v>79</v>
      </c>
      <c r="B6" t="s">
        <v>80</v>
      </c>
      <c r="C6" t="s">
        <v>81</v>
      </c>
      <c r="D6" t="s">
        <v>82</v>
      </c>
    </row>
    <row r="7" spans="1:4" x14ac:dyDescent="0.25">
      <c r="A7" t="s">
        <v>83</v>
      </c>
      <c r="B7" t="s">
        <v>84</v>
      </c>
      <c r="C7" t="s">
        <v>85</v>
      </c>
      <c r="D7" t="s">
        <v>90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9D767-DE41-4FF4-83AF-E68C6B7AC465}">
  <sheetPr codeName="Hoja6"/>
  <dimension ref="A1:D8"/>
  <sheetViews>
    <sheetView workbookViewId="0">
      <selection activeCell="D4" sqref="D4"/>
    </sheetView>
  </sheetViews>
  <sheetFormatPr baseColWidth="10" defaultRowHeight="15" x14ac:dyDescent="0.25"/>
  <cols>
    <col min="1" max="1" width="15.28515625" bestFit="1" customWidth="1"/>
    <col min="2" max="2" width="22" bestFit="1" customWidth="1"/>
    <col min="3" max="3" width="16.7109375" bestFit="1" customWidth="1"/>
    <col min="4" max="4" width="61.85546875" bestFit="1" customWidth="1"/>
    <col min="5" max="5" width="129" bestFit="1" customWidth="1"/>
  </cols>
  <sheetData>
    <row r="1" spans="1:4" x14ac:dyDescent="0.25">
      <c r="A1" t="s">
        <v>15</v>
      </c>
      <c r="B1" t="s">
        <v>0</v>
      </c>
      <c r="C1" t="s">
        <v>74</v>
      </c>
      <c r="D1" t="s">
        <v>2</v>
      </c>
    </row>
    <row r="2" spans="1:4" x14ac:dyDescent="0.25">
      <c r="A2" s="3">
        <v>1</v>
      </c>
      <c r="B2" t="s">
        <v>40</v>
      </c>
      <c r="C2" s="5">
        <v>788.75</v>
      </c>
      <c r="D2" t="s">
        <v>3</v>
      </c>
    </row>
    <row r="3" spans="1:4" x14ac:dyDescent="0.25">
      <c r="A3" s="3">
        <v>1</v>
      </c>
      <c r="B3" t="s">
        <v>6</v>
      </c>
      <c r="C3" s="5">
        <v>1007</v>
      </c>
      <c r="D3" t="s">
        <v>4</v>
      </c>
    </row>
    <row r="4" spans="1:4" x14ac:dyDescent="0.25">
      <c r="A4" s="3">
        <v>2</v>
      </c>
      <c r="B4" t="s">
        <v>8</v>
      </c>
      <c r="C4" s="5">
        <v>279</v>
      </c>
      <c r="D4" t="s">
        <v>91</v>
      </c>
    </row>
    <row r="5" spans="1:4" x14ac:dyDescent="0.25">
      <c r="A5" s="3">
        <v>2</v>
      </c>
      <c r="B5" t="s">
        <v>7</v>
      </c>
      <c r="C5" s="5">
        <v>2439</v>
      </c>
      <c r="D5" t="s">
        <v>5</v>
      </c>
    </row>
    <row r="6" spans="1:4" x14ac:dyDescent="0.25">
      <c r="A6" s="3">
        <v>2</v>
      </c>
      <c r="B6" t="s">
        <v>75</v>
      </c>
      <c r="C6" s="5">
        <v>250.76</v>
      </c>
      <c r="D6" t="s">
        <v>76</v>
      </c>
    </row>
    <row r="7" spans="1:4" x14ac:dyDescent="0.25">
      <c r="A7" s="3">
        <v>5</v>
      </c>
      <c r="B7" t="s">
        <v>77</v>
      </c>
      <c r="C7" s="5">
        <v>10000</v>
      </c>
    </row>
    <row r="8" spans="1:4" x14ac:dyDescent="0.25">
      <c r="A8" s="3">
        <v>6</v>
      </c>
      <c r="B8" t="s">
        <v>78</v>
      </c>
      <c r="C8" s="5">
        <v>200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0FFCC-2ED5-443D-82CE-B0EC8E05CA2D}">
  <sheetPr codeName="Hoja18"/>
  <dimension ref="A1:B5"/>
  <sheetViews>
    <sheetView workbookViewId="0">
      <selection activeCell="B5" sqref="B5"/>
    </sheetView>
  </sheetViews>
  <sheetFormatPr baseColWidth="10" defaultRowHeight="15" x14ac:dyDescent="0.25"/>
  <cols>
    <col min="1" max="1" width="12.5703125" customWidth="1"/>
  </cols>
  <sheetData>
    <row r="1" spans="1:2" x14ac:dyDescent="0.25">
      <c r="A1" t="s">
        <v>39</v>
      </c>
      <c r="B1" t="s">
        <v>1</v>
      </c>
    </row>
    <row r="2" spans="1:2" x14ac:dyDescent="0.25">
      <c r="A2">
        <v>1</v>
      </c>
      <c r="B2">
        <v>17000</v>
      </c>
    </row>
    <row r="3" spans="1:2" x14ac:dyDescent="0.25">
      <c r="A3">
        <v>2</v>
      </c>
      <c r="B3">
        <v>25000</v>
      </c>
    </row>
    <row r="4" spans="1:2" x14ac:dyDescent="0.25">
      <c r="A4">
        <v>3</v>
      </c>
      <c r="B4">
        <v>3000</v>
      </c>
    </row>
    <row r="5" spans="1:2" x14ac:dyDescent="0.25">
      <c r="A5">
        <v>4</v>
      </c>
      <c r="B5">
        <v>15800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67D2C-6724-4172-9462-89C92209C8E9}">
  <sheetPr codeName="Hoja7"/>
  <dimension ref="A1:B2"/>
  <sheetViews>
    <sheetView workbookViewId="0">
      <selection activeCell="A3" sqref="A3"/>
    </sheetView>
  </sheetViews>
  <sheetFormatPr baseColWidth="10" defaultRowHeight="15" x14ac:dyDescent="0.25"/>
  <cols>
    <col min="1" max="1" width="12.7109375" bestFit="1" customWidth="1"/>
  </cols>
  <sheetData>
    <row r="1" spans="1:2" x14ac:dyDescent="0.25">
      <c r="A1" t="s">
        <v>39</v>
      </c>
      <c r="B1" t="s">
        <v>42</v>
      </c>
    </row>
    <row r="2" spans="1:2" x14ac:dyDescent="0.25">
      <c r="A2">
        <v>5</v>
      </c>
      <c r="B2" t="s">
        <v>43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8B26E-D927-4853-8D52-086E94D35D1E}">
  <sheetPr codeName="Hoja8"/>
  <dimension ref="A1:D3"/>
  <sheetViews>
    <sheetView workbookViewId="0">
      <selection activeCell="B3" sqref="B3"/>
    </sheetView>
  </sheetViews>
  <sheetFormatPr baseColWidth="10" defaultRowHeight="15" x14ac:dyDescent="0.25"/>
  <cols>
    <col min="1" max="1" width="18.140625" customWidth="1"/>
    <col min="2" max="2" width="13" customWidth="1"/>
    <col min="3" max="3" width="17.85546875" bestFit="1" customWidth="1"/>
    <col min="4" max="4" width="11.42578125" bestFit="1" customWidth="1"/>
  </cols>
  <sheetData>
    <row r="1" spans="1:4" x14ac:dyDescent="0.25">
      <c r="A1" t="s">
        <v>39</v>
      </c>
      <c r="B1" t="s">
        <v>1</v>
      </c>
      <c r="C1" t="s">
        <v>17</v>
      </c>
      <c r="D1" t="s">
        <v>18</v>
      </c>
    </row>
    <row r="2" spans="1:4" x14ac:dyDescent="0.25">
      <c r="A2">
        <v>6</v>
      </c>
      <c r="B2">
        <v>5</v>
      </c>
      <c r="C2" t="s">
        <v>86</v>
      </c>
      <c r="D2" t="s">
        <v>19</v>
      </c>
    </row>
    <row r="3" spans="1:4" x14ac:dyDescent="0.25">
      <c r="A3">
        <v>7</v>
      </c>
      <c r="B3">
        <v>150</v>
      </c>
      <c r="C3" t="s">
        <v>41</v>
      </c>
      <c r="D3" t="s">
        <v>28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97BEB-0750-4592-91D6-B4854A659AA4}">
  <sheetPr codeName="Hoja9"/>
  <dimension ref="A1:B2"/>
  <sheetViews>
    <sheetView workbookViewId="0">
      <selection activeCell="B15" sqref="B15"/>
    </sheetView>
  </sheetViews>
  <sheetFormatPr baseColWidth="10" defaultRowHeight="15" x14ac:dyDescent="0.25"/>
  <cols>
    <col min="1" max="2" width="15.140625" customWidth="1"/>
  </cols>
  <sheetData>
    <row r="1" spans="1:2" x14ac:dyDescent="0.25">
      <c r="A1" t="s">
        <v>29</v>
      </c>
      <c r="B1" t="s">
        <v>15</v>
      </c>
    </row>
    <row r="2" spans="1:2" x14ac:dyDescent="0.25">
      <c r="A2" s="1" t="str">
        <f>TEXT("15/03/2023", "aaaa-mm-dd")</f>
        <v>2023-03-15</v>
      </c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61768-1F59-433A-BC43-3DAA5A898812}">
  <sheetPr codeName="Hoja14"/>
  <dimension ref="A1:B5"/>
  <sheetViews>
    <sheetView workbookViewId="0">
      <selection activeCell="D6" sqref="D6"/>
    </sheetView>
  </sheetViews>
  <sheetFormatPr baseColWidth="10" defaultRowHeight="15" x14ac:dyDescent="0.25"/>
  <cols>
    <col min="1" max="1" width="13.7109375" bestFit="1" customWidth="1"/>
  </cols>
  <sheetData>
    <row r="1" spans="1:2" x14ac:dyDescent="0.25">
      <c r="A1" t="s">
        <v>0</v>
      </c>
      <c r="B1" t="s">
        <v>34</v>
      </c>
    </row>
    <row r="2" spans="1:2" x14ac:dyDescent="0.25">
      <c r="A2" t="s">
        <v>35</v>
      </c>
      <c r="B2">
        <v>15</v>
      </c>
    </row>
    <row r="3" spans="1:2" x14ac:dyDescent="0.25">
      <c r="A3" t="s">
        <v>103</v>
      </c>
      <c r="B3">
        <v>30</v>
      </c>
    </row>
    <row r="4" spans="1:2" x14ac:dyDescent="0.25">
      <c r="A4" t="s">
        <v>104</v>
      </c>
      <c r="B4">
        <v>5</v>
      </c>
    </row>
    <row r="5" spans="1:2" x14ac:dyDescent="0.25">
      <c r="A5" t="s">
        <v>105</v>
      </c>
      <c r="B5">
        <v>1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3A2D6-CAAC-4912-BA02-40E284B2B7DB}">
  <sheetPr codeName="Hoja15"/>
  <dimension ref="A1:B2"/>
  <sheetViews>
    <sheetView workbookViewId="0">
      <selection activeCell="A2" sqref="A2"/>
    </sheetView>
  </sheetViews>
  <sheetFormatPr baseColWidth="10" defaultRowHeight="15" x14ac:dyDescent="0.25"/>
  <cols>
    <col min="1" max="1" width="14.140625" bestFit="1" customWidth="1"/>
    <col min="2" max="2" width="13.28515625" bestFit="1" customWidth="1"/>
  </cols>
  <sheetData>
    <row r="1" spans="1:2" x14ac:dyDescent="0.25">
      <c r="A1" t="s">
        <v>37</v>
      </c>
      <c r="B1" t="s">
        <v>38</v>
      </c>
    </row>
    <row r="2" spans="1:2" x14ac:dyDescent="0.25">
      <c r="A2" s="6">
        <f ca="1">TODAY()</f>
        <v>45054</v>
      </c>
      <c r="B2" s="2">
        <v>0.625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18705-CC97-4FF0-BEF6-A9A912775603}">
  <sheetPr codeName="Hoja20"/>
  <dimension ref="A1:F2"/>
  <sheetViews>
    <sheetView workbookViewId="0">
      <selection activeCell="B2" sqref="B2"/>
    </sheetView>
  </sheetViews>
  <sheetFormatPr baseColWidth="10" defaultRowHeight="15" x14ac:dyDescent="0.25"/>
  <cols>
    <col min="1" max="1" width="12.140625" customWidth="1"/>
    <col min="3" max="3" width="22" bestFit="1" customWidth="1"/>
    <col min="4" max="4" width="13.140625" customWidth="1"/>
    <col min="5" max="5" width="15.7109375" customWidth="1"/>
  </cols>
  <sheetData>
    <row r="1" spans="1:6" x14ac:dyDescent="0.25">
      <c r="A1" t="s">
        <v>96</v>
      </c>
      <c r="B1" t="s">
        <v>97</v>
      </c>
      <c r="C1" t="s">
        <v>98</v>
      </c>
      <c r="D1" t="s">
        <v>24</v>
      </c>
      <c r="E1" t="s">
        <v>99</v>
      </c>
      <c r="F1" t="s">
        <v>36</v>
      </c>
    </row>
    <row r="2" spans="1:6" x14ac:dyDescent="0.25">
      <c r="A2" s="6">
        <v>45054</v>
      </c>
      <c r="B2" s="7">
        <v>0.81874999999999998</v>
      </c>
      <c r="C2" t="s">
        <v>100</v>
      </c>
      <c r="D2">
        <v>1</v>
      </c>
      <c r="E2">
        <v>1</v>
      </c>
      <c r="F2"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animales</vt:lpstr>
      <vt:lpstr>razas</vt:lpstr>
      <vt:lpstr>personas</vt:lpstr>
      <vt:lpstr>empleados</vt:lpstr>
      <vt:lpstr>mascotas</vt:lpstr>
      <vt:lpstr>proveedores</vt:lpstr>
      <vt:lpstr>articulos</vt:lpstr>
      <vt:lpstr>alimentos</vt:lpstr>
      <vt:lpstr>productos</vt:lpstr>
      <vt:lpstr>medicamentos</vt:lpstr>
      <vt:lpstr>facturas_proveedor</vt:lpstr>
      <vt:lpstr>formas_pago</vt:lpstr>
      <vt:lpstr>tickets</vt:lpstr>
      <vt:lpstr>citas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KevinCyn</dc:creator>
  <cp:lastModifiedBy>KevinCyn</cp:lastModifiedBy>
  <cp:lastPrinted>2023-03-14T15:40:12Z</cp:lastPrinted>
  <dcterms:created xsi:type="dcterms:W3CDTF">2023-03-05T21:52:10Z</dcterms:created>
  <dcterms:modified xsi:type="dcterms:W3CDTF">2023-05-09T02:03:13Z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2023-03-05T22:04:21Z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2186ca50-3398-420d-82aa-fefb40e104f8</vt:lpwstr>
  </property>
  <property fmtid="{D5CDD505-2E9C-101B-9397-08002B2CF9AE}" pid="7" name="MSIP_Label_defa4170-0d19-0005-0004-bc88714345d2_ActionId">
    <vt:lpwstr>be8ccc56-38f3-4888-8344-07fcd08c10ba</vt:lpwstr>
  </property>
  <property fmtid="{D5CDD505-2E9C-101B-9397-08002B2CF9AE}" pid="8" name="MSIP_Label_defa4170-0d19-0005-0004-bc88714345d2_ContentBits">
    <vt:lpwstr>0</vt:lpwstr>
  </property>
</Properties>
</file>